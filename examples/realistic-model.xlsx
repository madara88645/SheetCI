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a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VAT rate</t>
        </is>
      </c>
      <c r="B2" t="n">
        <v>0.2</v>
      </c>
    </row>
    <row r="3">
      <c r="A3" t="inlineStr">
        <is>
          <t>Commission rate</t>
        </is>
      </c>
      <c r="B3" t="n">
        <v>0.075</v>
      </c>
    </row>
    <row r="4">
      <c r="A4" t="inlineStr">
        <is>
          <t>Discount tier</t>
        </is>
      </c>
      <c r="B4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</t>
        </is>
      </c>
      <c r="B1" t="inlineStr">
        <is>
          <t>Region</t>
        </is>
      </c>
      <c r="C1" t="inlineStr">
        <is>
          <t>Units</t>
        </is>
      </c>
      <c r="D1" t="inlineStr">
        <is>
          <t>Unit Price</t>
        </is>
      </c>
      <c r="E1" t="inlineStr">
        <is>
          <t>Gross</t>
        </is>
      </c>
      <c r="F1" t="inlineStr">
        <is>
          <t>VAT</t>
        </is>
      </c>
      <c r="G1" t="inlineStr">
        <is>
          <t>Net</t>
        </is>
      </c>
      <c r="H1" t="inlineStr">
        <is>
          <t>Commission</t>
        </is>
      </c>
      <c r="I1" t="inlineStr">
        <is>
          <t>Band</t>
        </is>
      </c>
    </row>
    <row r="2">
      <c r="A2" t="inlineStr">
        <is>
          <t>Rep 1</t>
        </is>
      </c>
      <c r="B2" t="inlineStr">
        <is>
          <t>AMER</t>
        </is>
      </c>
      <c r="C2" t="n">
        <v>102</v>
      </c>
      <c r="D2" t="n">
        <v>19.99</v>
      </c>
      <c r="E2">
        <f>C2*D2</f>
        <v/>
      </c>
      <c r="F2">
        <f>E2*Assumptions!$B$2</f>
        <v/>
      </c>
      <c r="G2">
        <f>E2-F2</f>
        <v/>
      </c>
      <c r="H2">
        <f>ROUND(G2*Assumptions!$B$3,2)</f>
        <v/>
      </c>
      <c r="I2">
        <f>IF(C2&gt;150,"High",IF(C2&gt;120,"Mid","Low"))</f>
        <v/>
      </c>
    </row>
    <row r="3">
      <c r="A3" t="inlineStr">
        <is>
          <t>Rep 2</t>
        </is>
      </c>
      <c r="B3" t="inlineStr">
        <is>
          <t>EMEA</t>
        </is>
      </c>
      <c r="C3" t="n">
        <v>103</v>
      </c>
      <c r="D3" t="n">
        <v>19.99</v>
      </c>
      <c r="E3">
        <f>C3*D3</f>
        <v/>
      </c>
      <c r="F3">
        <f>E3*Assumptions!$B$2</f>
        <v/>
      </c>
      <c r="G3">
        <f>E3-F3</f>
        <v/>
      </c>
      <c r="H3">
        <f>ROUND(G3*Assumptions!$B$3,2)</f>
        <v/>
      </c>
      <c r="I3">
        <f>IF(C3&gt;150,"High",IF(C3&gt;120,"Mid","Low"))</f>
        <v/>
      </c>
    </row>
    <row r="4">
      <c r="A4" t="inlineStr">
        <is>
          <t>Rep 3</t>
        </is>
      </c>
      <c r="B4" t="inlineStr">
        <is>
          <t>AMER</t>
        </is>
      </c>
      <c r="C4" t="n">
        <v>104</v>
      </c>
      <c r="D4" t="n">
        <v>19.99</v>
      </c>
      <c r="E4">
        <f>C4*D4</f>
        <v/>
      </c>
      <c r="F4">
        <f>E4*Assumptions!$B$2</f>
        <v/>
      </c>
      <c r="G4">
        <f>E4-F4</f>
        <v/>
      </c>
      <c r="H4">
        <f>ROUND(G4*Assumptions!$B$3,2)</f>
        <v/>
      </c>
      <c r="I4">
        <f>IF(C4&gt;150,"High",IF(C4&gt;120,"Mid","Low"))</f>
        <v/>
      </c>
    </row>
    <row r="5">
      <c r="A5" t="inlineStr">
        <is>
          <t>Rep 4</t>
        </is>
      </c>
      <c r="B5" t="inlineStr">
        <is>
          <t>EMEA</t>
        </is>
      </c>
      <c r="C5" t="n">
        <v>105</v>
      </c>
      <c r="D5" t="n">
        <v>19.99</v>
      </c>
      <c r="E5">
        <f>C5*D5</f>
        <v/>
      </c>
      <c r="F5">
        <f>E5*Assumptions!$B$2</f>
        <v/>
      </c>
      <c r="G5">
        <f>E5-F5</f>
        <v/>
      </c>
      <c r="H5">
        <f>ROUND(G5*Assumptions!$B$3,2)</f>
        <v/>
      </c>
      <c r="I5">
        <f>IF(C5&gt;150,"High",IF(C5&gt;120,"Mid","Low"))</f>
        <v/>
      </c>
    </row>
    <row r="6">
      <c r="A6" t="inlineStr">
        <is>
          <t>Rep 5</t>
        </is>
      </c>
      <c r="B6" t="inlineStr">
        <is>
          <t>AMER</t>
        </is>
      </c>
      <c r="C6" t="n">
        <v>106</v>
      </c>
      <c r="D6" t="n">
        <v>19.99</v>
      </c>
      <c r="E6">
        <f>C6*D6</f>
        <v/>
      </c>
      <c r="F6">
        <f>E6*Assumptions!$B$2</f>
        <v/>
      </c>
      <c r="G6">
        <f>E6-F6</f>
        <v/>
      </c>
      <c r="H6">
        <f>ROUND(G6*Assumptions!$B$3,2)</f>
        <v/>
      </c>
      <c r="I6">
        <f>IF(C6&gt;150,"High",IF(C6&gt;120,"Mid","Low"))</f>
        <v/>
      </c>
    </row>
    <row r="7">
      <c r="A7" t="inlineStr">
        <is>
          <t>Rep 6</t>
        </is>
      </c>
      <c r="B7" t="inlineStr">
        <is>
          <t>EMEA</t>
        </is>
      </c>
      <c r="C7" t="n">
        <v>107</v>
      </c>
      <c r="D7" t="n">
        <v>19.99</v>
      </c>
      <c r="E7">
        <f>C7*D7</f>
        <v/>
      </c>
      <c r="F7">
        <f>E7*Assumptions!$B$2</f>
        <v/>
      </c>
      <c r="G7">
        <f>E7-F7</f>
        <v/>
      </c>
      <c r="H7">
        <f>ROUND(G7*Assumptions!$B$3,2)</f>
        <v/>
      </c>
      <c r="I7">
        <f>IF(C7&gt;150,"High",IF(C7&gt;120,"Mid","Low"))</f>
        <v/>
      </c>
    </row>
    <row r="8">
      <c r="A8" t="inlineStr">
        <is>
          <t>Rep 7</t>
        </is>
      </c>
      <c r="B8" t="inlineStr">
        <is>
          <t>AMER</t>
        </is>
      </c>
      <c r="C8" t="n">
        <v>108</v>
      </c>
      <c r="D8" t="n">
        <v>19.99</v>
      </c>
      <c r="E8">
        <f>C8*D8</f>
        <v/>
      </c>
      <c r="F8">
        <f>E8*Assumptions!$B$2</f>
        <v/>
      </c>
      <c r="G8">
        <f>E8-F8</f>
        <v/>
      </c>
      <c r="H8">
        <f>ROUND(G8*Assumptions!$B$3,2)</f>
        <v/>
      </c>
      <c r="I8">
        <f>IF(C8&gt;150,"High",IF(C8&gt;120,"Mid","Low"))</f>
        <v/>
      </c>
    </row>
    <row r="9">
      <c r="A9" t="inlineStr">
        <is>
          <t>Rep 8</t>
        </is>
      </c>
      <c r="B9" t="inlineStr">
        <is>
          <t>EMEA</t>
        </is>
      </c>
      <c r="C9" t="n">
        <v>109</v>
      </c>
      <c r="D9" t="n">
        <v>19.99</v>
      </c>
      <c r="E9">
        <f>C9*D9</f>
        <v/>
      </c>
      <c r="F9">
        <f>E9*Assumptions!$B$2</f>
        <v/>
      </c>
      <c r="G9">
        <f>E9-F9</f>
        <v/>
      </c>
      <c r="H9">
        <f>ROUND(G9*Assumptions!$B$3,2)</f>
        <v/>
      </c>
      <c r="I9">
        <f>IF(C9&gt;150,"High",IF(C9&gt;120,"Mid","Low"))</f>
        <v/>
      </c>
    </row>
    <row r="10">
      <c r="A10" t="inlineStr">
        <is>
          <t>Rep 9</t>
        </is>
      </c>
      <c r="B10" t="inlineStr">
        <is>
          <t>AMER</t>
        </is>
      </c>
      <c r="C10" t="n">
        <v>110</v>
      </c>
      <c r="D10" t="n">
        <v>19.99</v>
      </c>
      <c r="E10">
        <f>C10*D10</f>
        <v/>
      </c>
      <c r="F10">
        <f>E10*Assumptions!$B$2</f>
        <v/>
      </c>
      <c r="G10">
        <f>E10-F10</f>
        <v/>
      </c>
      <c r="H10">
        <f>ROUND(G10*Assumptions!$B$3,2)</f>
        <v/>
      </c>
      <c r="I10">
        <f>IF(C10&gt;150,"High",IF(C10&gt;120,"Mid","Low"))</f>
        <v/>
      </c>
    </row>
    <row r="11">
      <c r="A11" t="inlineStr">
        <is>
          <t>Rep 10</t>
        </is>
      </c>
      <c r="B11" t="inlineStr">
        <is>
          <t>EMEA</t>
        </is>
      </c>
      <c r="C11" t="n">
        <v>111</v>
      </c>
      <c r="D11" t="n">
        <v>19.99</v>
      </c>
      <c r="E11">
        <f>C11*D11</f>
        <v/>
      </c>
      <c r="F11">
        <f>E11*Assumptions!$B$2</f>
        <v/>
      </c>
      <c r="G11">
        <f>E11-F11</f>
        <v/>
      </c>
      <c r="H11">
        <f>ROUND(G11*Assumptions!$B$3,2)</f>
        <v/>
      </c>
      <c r="I11">
        <f>IF(C11&gt;150,"High",IF(C11&gt;120,"Mid","Low"))</f>
        <v/>
      </c>
    </row>
    <row r="12">
      <c r="A12" t="inlineStr">
        <is>
          <t>Rep 11</t>
        </is>
      </c>
      <c r="B12" t="inlineStr">
        <is>
          <t>AMER</t>
        </is>
      </c>
      <c r="C12" t="n">
        <v>112</v>
      </c>
      <c r="D12" t="n">
        <v>19.99</v>
      </c>
      <c r="E12">
        <f>C12*D12</f>
        <v/>
      </c>
      <c r="F12">
        <f>E12*Assumptions!$B$2</f>
        <v/>
      </c>
      <c r="G12">
        <f>E12-F12</f>
        <v/>
      </c>
      <c r="H12">
        <f>ROUND(G12*Assumptions!$B$3,2)</f>
        <v/>
      </c>
      <c r="I12">
        <f>IF(C12&gt;150,"High",IF(C12&gt;120,"Mid","Low"))</f>
        <v/>
      </c>
    </row>
    <row r="13">
      <c r="A13" t="inlineStr">
        <is>
          <t>Rep 12</t>
        </is>
      </c>
      <c r="B13" t="inlineStr">
        <is>
          <t>EMEA</t>
        </is>
      </c>
      <c r="C13" t="n">
        <v>113</v>
      </c>
      <c r="D13" t="n">
        <v>19.99</v>
      </c>
      <c r="E13">
        <f>C13*D13</f>
        <v/>
      </c>
      <c r="F13">
        <f>E13*Assumptions!$B$2</f>
        <v/>
      </c>
      <c r="G13">
        <f>E13-F13</f>
        <v/>
      </c>
      <c r="H13">
        <f>ROUND(G13*Assumptions!$B$3,2)</f>
        <v/>
      </c>
      <c r="I13">
        <f>IF(C13&gt;150,"High",IF(C13&gt;120,"Mid","Low"))</f>
        <v/>
      </c>
    </row>
    <row r="14">
      <c r="A14" t="inlineStr">
        <is>
          <t>Rep 13</t>
        </is>
      </c>
      <c r="B14" t="inlineStr">
        <is>
          <t>AMER</t>
        </is>
      </c>
      <c r="C14" t="n">
        <v>114</v>
      </c>
      <c r="D14" t="n">
        <v>19.99</v>
      </c>
      <c r="E14">
        <f>C14*D14</f>
        <v/>
      </c>
      <c r="F14">
        <f>E14*Assumptions!$B$2</f>
        <v/>
      </c>
      <c r="G14">
        <f>E14-F14</f>
        <v/>
      </c>
      <c r="H14">
        <f>ROUND(G14*Assumptions!$B$3,2)</f>
        <v/>
      </c>
      <c r="I14">
        <f>IF(C14&gt;150,"High",IF(C14&gt;120,"Mid","Low"))</f>
        <v/>
      </c>
    </row>
    <row r="15">
      <c r="A15" t="inlineStr">
        <is>
          <t>Rep 14</t>
        </is>
      </c>
      <c r="B15" t="inlineStr">
        <is>
          <t>EMEA</t>
        </is>
      </c>
      <c r="C15" t="n">
        <v>115</v>
      </c>
      <c r="D15" t="n">
        <v>19.99</v>
      </c>
      <c r="E15">
        <f>C15*D15</f>
        <v/>
      </c>
      <c r="F15">
        <f>E15*Assumptions!$B$2</f>
        <v/>
      </c>
      <c r="G15">
        <f>E15-F15</f>
        <v/>
      </c>
      <c r="H15">
        <f>ROUND(G15*Assumptions!$B$3,2)</f>
        <v/>
      </c>
      <c r="I15">
        <f>IF(C15&gt;150,"High",IF(C15&gt;120,"Mid","Low"))</f>
        <v/>
      </c>
    </row>
    <row r="16">
      <c r="A16" t="inlineStr">
        <is>
          <t>Rep 15</t>
        </is>
      </c>
      <c r="B16" t="inlineStr">
        <is>
          <t>AMER</t>
        </is>
      </c>
      <c r="C16" t="n">
        <v>116</v>
      </c>
      <c r="D16" t="n">
        <v>19.99</v>
      </c>
      <c r="E16">
        <f>C16*D16</f>
        <v/>
      </c>
      <c r="F16">
        <f>E16*Assumptions!$B$2</f>
        <v/>
      </c>
      <c r="G16">
        <f>E16-F16</f>
        <v/>
      </c>
      <c r="H16">
        <f>ROUND(G16*Assumptions!$B$3,2)</f>
        <v/>
      </c>
      <c r="I16">
        <f>IF(C16&gt;150,"High",IF(C16&gt;120,"Mid","Low"))</f>
        <v/>
      </c>
    </row>
    <row r="17">
      <c r="A17" t="inlineStr">
        <is>
          <t>Rep 16</t>
        </is>
      </c>
      <c r="B17" t="inlineStr">
        <is>
          <t>EMEA</t>
        </is>
      </c>
      <c r="C17" t="n">
        <v>117</v>
      </c>
      <c r="D17" t="n">
        <v>19.99</v>
      </c>
      <c r="E17">
        <f>C17*D17</f>
        <v/>
      </c>
      <c r="F17">
        <f>E17*Assumptions!$B$2</f>
        <v/>
      </c>
      <c r="G17">
        <f>E17-F17</f>
        <v/>
      </c>
      <c r="H17">
        <f>ROUND(G17*Assumptions!$B$3,2)</f>
        <v/>
      </c>
      <c r="I17">
        <f>IF(C17&gt;150,"High",IF(C17&gt;120,"Mid","Low"))</f>
        <v/>
      </c>
    </row>
    <row r="18">
      <c r="A18" t="inlineStr">
        <is>
          <t>Rep 17</t>
        </is>
      </c>
      <c r="B18" t="inlineStr">
        <is>
          <t>AMER</t>
        </is>
      </c>
      <c r="C18" t="n">
        <v>118</v>
      </c>
      <c r="D18" t="n">
        <v>19.99</v>
      </c>
      <c r="E18">
        <f>C18*D18</f>
        <v/>
      </c>
      <c r="F18">
        <f>E18*Assumptions!$B$2</f>
        <v/>
      </c>
      <c r="G18">
        <f>E18-F18</f>
        <v/>
      </c>
      <c r="H18">
        <f>ROUND(G18*Assumptions!$B$3,2)</f>
        <v/>
      </c>
      <c r="I18">
        <f>IF(C18&gt;150,"High",IF(C18&gt;120,"Mid","Low"))</f>
        <v/>
      </c>
    </row>
    <row r="19">
      <c r="A19" t="inlineStr">
        <is>
          <t>Rep 18</t>
        </is>
      </c>
      <c r="B19" t="inlineStr">
        <is>
          <t>EMEA</t>
        </is>
      </c>
      <c r="C19" t="n">
        <v>119</v>
      </c>
      <c r="D19" t="n">
        <v>19.99</v>
      </c>
      <c r="E19">
        <f>C19*D19</f>
        <v/>
      </c>
      <c r="F19">
        <f>E19*Assumptions!$B$2</f>
        <v/>
      </c>
      <c r="G19">
        <f>E19-F19</f>
        <v/>
      </c>
      <c r="H19">
        <f>ROUND(G19*Assumptions!$B$3,2)</f>
        <v/>
      </c>
      <c r="I19">
        <f>IF(C19&gt;150,"High",IF(C19&gt;120,"Mid","Low"))</f>
        <v/>
      </c>
    </row>
    <row r="20">
      <c r="A20" t="inlineStr">
        <is>
          <t>Rep 19</t>
        </is>
      </c>
      <c r="B20" t="inlineStr">
        <is>
          <t>AMER</t>
        </is>
      </c>
      <c r="C20" t="n">
        <v>120</v>
      </c>
      <c r="D20" t="n">
        <v>19.99</v>
      </c>
      <c r="E20">
        <f>C20*D20</f>
        <v/>
      </c>
      <c r="F20">
        <f>E20*Assumptions!$B$2</f>
        <v/>
      </c>
      <c r="G20">
        <f>E20-F20</f>
        <v/>
      </c>
      <c r="H20">
        <f>ROUND(G20*Assumptions!$B$3,2)</f>
        <v/>
      </c>
      <c r="I20">
        <f>IF(C20&gt;150,"High",IF(C20&gt;120,"Mid","Low"))</f>
        <v/>
      </c>
    </row>
    <row r="21">
      <c r="A21" t="inlineStr">
        <is>
          <t>Rep 20</t>
        </is>
      </c>
      <c r="B21" t="inlineStr">
        <is>
          <t>EMEA</t>
        </is>
      </c>
      <c r="C21" t="n">
        <v>121</v>
      </c>
      <c r="D21" t="n">
        <v>19.99</v>
      </c>
      <c r="E21">
        <f>C21*D21</f>
        <v/>
      </c>
      <c r="F21">
        <f>E21*Assumptions!$B$2</f>
        <v/>
      </c>
      <c r="G21">
        <f>E21-F21</f>
        <v/>
      </c>
      <c r="H21">
        <f>ROUND(G21*Assumptions!$B$3,2)</f>
        <v/>
      </c>
      <c r="I21">
        <f>IF(C21&gt;150,"High",IF(C21&gt;120,"Mid","Low"))</f>
        <v/>
      </c>
    </row>
    <row r="22">
      <c r="A22" t="inlineStr">
        <is>
          <t>Rep 21</t>
        </is>
      </c>
      <c r="B22" t="inlineStr">
        <is>
          <t>AMER</t>
        </is>
      </c>
      <c r="C22" t="n">
        <v>122</v>
      </c>
      <c r="D22" t="n">
        <v>19.99</v>
      </c>
      <c r="E22">
        <f>C22*D22</f>
        <v/>
      </c>
      <c r="F22">
        <f>E22*Assumptions!$B$2</f>
        <v/>
      </c>
      <c r="G22">
        <f>E22-F22</f>
        <v/>
      </c>
      <c r="H22">
        <f>ROUND(G22*Assumptions!$B$3,2)</f>
        <v/>
      </c>
      <c r="I22">
        <f>IF(C22&gt;150,"High",IF(C22&gt;120,"Mid","Low"))</f>
        <v/>
      </c>
    </row>
    <row r="23">
      <c r="A23" t="inlineStr">
        <is>
          <t>Rep 22</t>
        </is>
      </c>
      <c r="B23" t="inlineStr">
        <is>
          <t>EMEA</t>
        </is>
      </c>
      <c r="C23" t="n">
        <v>123</v>
      </c>
      <c r="D23" t="n">
        <v>19.99</v>
      </c>
      <c r="E23">
        <f>C23*D23</f>
        <v/>
      </c>
      <c r="F23">
        <f>E23*Assumptions!$B$2</f>
        <v/>
      </c>
      <c r="G23">
        <f>E23-F23</f>
        <v/>
      </c>
      <c r="H23">
        <f>ROUND(G23*Assumptions!$B$3,2)</f>
        <v/>
      </c>
      <c r="I23">
        <f>IF(C23&gt;150,"High",IF(C23&gt;120,"Mid","Low"))</f>
        <v/>
      </c>
    </row>
    <row r="24">
      <c r="A24" t="inlineStr">
        <is>
          <t>Rep 23</t>
        </is>
      </c>
      <c r="B24" t="inlineStr">
        <is>
          <t>AMER</t>
        </is>
      </c>
      <c r="C24" t="n">
        <v>124</v>
      </c>
      <c r="D24" t="n">
        <v>19.99</v>
      </c>
      <c r="E24">
        <f>C24*D24</f>
        <v/>
      </c>
      <c r="F24">
        <f>E24*Assumptions!$B$2</f>
        <v/>
      </c>
      <c r="G24">
        <f>E24-F24</f>
        <v/>
      </c>
      <c r="H24">
        <f>ROUND(G24*Assumptions!$B$3,2)</f>
        <v/>
      </c>
      <c r="I24">
        <f>IF(C24&gt;150,"High",IF(C24&gt;120,"Mid","Low"))</f>
        <v/>
      </c>
    </row>
    <row r="25">
      <c r="A25" t="inlineStr">
        <is>
          <t>Rep 24</t>
        </is>
      </c>
      <c r="B25" t="inlineStr">
        <is>
          <t>EMEA</t>
        </is>
      </c>
      <c r="C25" t="n">
        <v>125</v>
      </c>
      <c r="D25" t="n">
        <v>19.99</v>
      </c>
      <c r="E25">
        <f>C25*D25</f>
        <v/>
      </c>
      <c r="F25">
        <f>E25*Assumptions!$B$2</f>
        <v/>
      </c>
      <c r="G25">
        <f>E25-F25</f>
        <v/>
      </c>
      <c r="H25">
        <f>ROUND(G25*Assumptions!$B$3,2)</f>
        <v/>
      </c>
      <c r="I25">
        <f>IF(C25&gt;150,"High",IF(C25&gt;120,"Mid","Low"))</f>
        <v/>
      </c>
    </row>
    <row r="26">
      <c r="A26" t="inlineStr">
        <is>
          <t>Rep 25</t>
        </is>
      </c>
      <c r="B26" t="inlineStr">
        <is>
          <t>AMER</t>
        </is>
      </c>
      <c r="C26" t="n">
        <v>126</v>
      </c>
      <c r="D26" t="n">
        <v>19.99</v>
      </c>
      <c r="E26">
        <f>C26*D26</f>
        <v/>
      </c>
      <c r="F26">
        <f>E26*Assumptions!$B$2</f>
        <v/>
      </c>
      <c r="G26">
        <f>E26-F26</f>
        <v/>
      </c>
      <c r="H26">
        <f>ROUND(G26*Assumptions!$B$3,2)</f>
        <v/>
      </c>
      <c r="I26">
        <f>IF(C26&gt;150,"High",IF(C26&gt;120,"Mid","Low"))</f>
        <v/>
      </c>
    </row>
    <row r="27">
      <c r="A27" t="inlineStr">
        <is>
          <t>Rep 26</t>
        </is>
      </c>
      <c r="B27" t="inlineStr">
        <is>
          <t>EMEA</t>
        </is>
      </c>
      <c r="C27" t="n">
        <v>127</v>
      </c>
      <c r="D27" t="n">
        <v>19.99</v>
      </c>
      <c r="E27">
        <f>C27*D27</f>
        <v/>
      </c>
      <c r="F27">
        <f>E27*Assumptions!$B$2</f>
        <v/>
      </c>
      <c r="G27">
        <f>E27-F27</f>
        <v/>
      </c>
      <c r="H27">
        <f>ROUND(G27*Assumptions!$B$3,2)</f>
        <v/>
      </c>
      <c r="I27">
        <f>IF(C27&gt;150,"High",IF(C27&gt;120,"Mid","Low"))</f>
        <v/>
      </c>
    </row>
    <row r="28">
      <c r="A28" t="inlineStr">
        <is>
          <t>Rep 27</t>
        </is>
      </c>
      <c r="B28" t="inlineStr">
        <is>
          <t>AMER</t>
        </is>
      </c>
      <c r="C28" t="n">
        <v>128</v>
      </c>
      <c r="D28" t="n">
        <v>19.99</v>
      </c>
      <c r="E28">
        <f>C28*D28</f>
        <v/>
      </c>
      <c r="F28">
        <f>E28*Assumptions!$B$2</f>
        <v/>
      </c>
      <c r="G28">
        <f>E28-F28</f>
        <v/>
      </c>
      <c r="H28">
        <f>ROUND(G28*Assumptions!$B$3,2)</f>
        <v/>
      </c>
      <c r="I28">
        <f>IF(C28&gt;150,"High",IF(C28&gt;120,"Mid","Low"))</f>
        <v/>
      </c>
    </row>
    <row r="29">
      <c r="A29" t="inlineStr">
        <is>
          <t>Rep 28</t>
        </is>
      </c>
      <c r="B29" t="inlineStr">
        <is>
          <t>EMEA</t>
        </is>
      </c>
      <c r="C29" t="n">
        <v>129</v>
      </c>
      <c r="D29" t="n">
        <v>19.99</v>
      </c>
      <c r="E29">
        <f>C29*D29</f>
        <v/>
      </c>
      <c r="F29">
        <f>E29*Assumptions!$B$2</f>
        <v/>
      </c>
      <c r="G29">
        <f>E29-F29</f>
        <v/>
      </c>
      <c r="H29">
        <f>ROUND(G29*Assumptions!$B$3,2)</f>
        <v/>
      </c>
      <c r="I29">
        <f>IF(C29&gt;150,"High",IF(C29&gt;120,"Mid","Low"))</f>
        <v/>
      </c>
    </row>
    <row r="30">
      <c r="A30" t="inlineStr">
        <is>
          <t>Rep 29</t>
        </is>
      </c>
      <c r="B30" t="inlineStr">
        <is>
          <t>AMER</t>
        </is>
      </c>
      <c r="C30" t="n">
        <v>130</v>
      </c>
      <c r="D30" t="n">
        <v>19.99</v>
      </c>
      <c r="E30">
        <f>C30*D30</f>
        <v/>
      </c>
      <c r="F30">
        <f>E30*Assumptions!$B$2</f>
        <v/>
      </c>
      <c r="G30">
        <f>E30-F30</f>
        <v/>
      </c>
      <c r="H30">
        <f>ROUND(G30*Assumptions!$B$3,2)</f>
        <v/>
      </c>
      <c r="I30">
        <f>IF(C30&gt;150,"High",IF(C30&gt;120,"Mid","Low"))</f>
        <v/>
      </c>
    </row>
    <row r="31">
      <c r="A31" t="inlineStr">
        <is>
          <t>Rep 30</t>
        </is>
      </c>
      <c r="B31" t="inlineStr">
        <is>
          <t>EMEA</t>
        </is>
      </c>
      <c r="C31" t="n">
        <v>131</v>
      </c>
      <c r="D31" t="n">
        <v>19.99</v>
      </c>
      <c r="E31">
        <f>C31*D31</f>
        <v/>
      </c>
      <c r="F31">
        <f>E31*Assumptions!$B$2</f>
        <v/>
      </c>
      <c r="G31">
        <f>E31-F31</f>
        <v/>
      </c>
      <c r="H31">
        <f>ROUND(G31*Assumptions!$B$3,2)</f>
        <v/>
      </c>
      <c r="I31">
        <f>IF(C31&gt;150,"High",IF(C31&gt;120,"Mid","Low"))</f>
        <v/>
      </c>
    </row>
    <row r="32">
      <c r="A32" t="inlineStr">
        <is>
          <t>Rep 31</t>
        </is>
      </c>
      <c r="B32" t="inlineStr">
        <is>
          <t>AMER</t>
        </is>
      </c>
      <c r="C32" t="n">
        <v>132</v>
      </c>
      <c r="D32" t="n">
        <v>19.99</v>
      </c>
      <c r="E32">
        <f>C32*D32</f>
        <v/>
      </c>
      <c r="F32">
        <f>E32*Assumptions!$B$2</f>
        <v/>
      </c>
      <c r="G32">
        <f>E32-F32</f>
        <v/>
      </c>
      <c r="H32">
        <f>ROUND(G32*Assumptions!$B$3,2)</f>
        <v/>
      </c>
      <c r="I32">
        <f>IF(C32&gt;150,"High",IF(C32&gt;120,"Mid","Low"))</f>
        <v/>
      </c>
    </row>
    <row r="33">
      <c r="A33" t="inlineStr">
        <is>
          <t>Rep 32</t>
        </is>
      </c>
      <c r="B33" t="inlineStr">
        <is>
          <t>EMEA</t>
        </is>
      </c>
      <c r="C33" t="n">
        <v>133</v>
      </c>
      <c r="D33" t="n">
        <v>19.99</v>
      </c>
      <c r="E33">
        <f>C33*D33</f>
        <v/>
      </c>
      <c r="F33">
        <f>E33*Assumptions!$B$2</f>
        <v/>
      </c>
      <c r="G33">
        <f>E33-F33</f>
        <v/>
      </c>
      <c r="H33">
        <f>ROUND(G33*Assumptions!$B$3,2)</f>
        <v/>
      </c>
      <c r="I33">
        <f>IF(C33&gt;150,"High",IF(C33&gt;120,"Mid","Low"))</f>
        <v/>
      </c>
    </row>
    <row r="34">
      <c r="A34" t="inlineStr">
        <is>
          <t>Rep 33</t>
        </is>
      </c>
      <c r="B34" t="inlineStr">
        <is>
          <t>AMER</t>
        </is>
      </c>
      <c r="C34" t="n">
        <v>134</v>
      </c>
      <c r="D34" t="n">
        <v>19.99</v>
      </c>
      <c r="E34">
        <f>C34*D34</f>
        <v/>
      </c>
      <c r="F34">
        <f>E34*Assumptions!$B$2</f>
        <v/>
      </c>
      <c r="G34">
        <f>E34-F34</f>
        <v/>
      </c>
      <c r="H34">
        <f>ROUND(G34*Assumptions!$B$3,2)</f>
        <v/>
      </c>
      <c r="I34">
        <f>IF(C34&gt;150,"High",IF(C34&gt;120,"Mid","Low"))</f>
        <v/>
      </c>
    </row>
    <row r="35">
      <c r="A35" t="inlineStr">
        <is>
          <t>Rep 34</t>
        </is>
      </c>
      <c r="B35" t="inlineStr">
        <is>
          <t>EMEA</t>
        </is>
      </c>
      <c r="C35" t="n">
        <v>135</v>
      </c>
      <c r="D35" t="n">
        <v>19.99</v>
      </c>
      <c r="E35">
        <f>C35*D35</f>
        <v/>
      </c>
      <c r="F35">
        <f>E35*Assumptions!$B$2</f>
        <v/>
      </c>
      <c r="G35">
        <f>E35-F35</f>
        <v/>
      </c>
      <c r="H35">
        <f>ROUND(G35*Assumptions!$B$3,2)</f>
        <v/>
      </c>
      <c r="I35">
        <f>IF(C35&gt;150,"High",IF(C35&gt;120,"Mid","Low"))</f>
        <v/>
      </c>
    </row>
    <row r="36">
      <c r="A36" t="inlineStr">
        <is>
          <t>Rep 35</t>
        </is>
      </c>
      <c r="B36" t="inlineStr">
        <is>
          <t>AMER</t>
        </is>
      </c>
      <c r="C36" t="n">
        <v>136</v>
      </c>
      <c r="D36" t="n">
        <v>19.99</v>
      </c>
      <c r="E36">
        <f>C36*D36</f>
        <v/>
      </c>
      <c r="F36">
        <f>E36*Assumptions!$B$2</f>
        <v/>
      </c>
      <c r="G36">
        <f>E36-F36</f>
        <v/>
      </c>
      <c r="H36">
        <f>ROUND(G36*Assumptions!$B$3,2)</f>
        <v/>
      </c>
      <c r="I36">
        <f>IF(C36&gt;150,"High",IF(C36&gt;120,"Mid","Low"))</f>
        <v/>
      </c>
    </row>
    <row r="37">
      <c r="A37" t="inlineStr">
        <is>
          <t>Rep 36</t>
        </is>
      </c>
      <c r="B37" t="inlineStr">
        <is>
          <t>EMEA</t>
        </is>
      </c>
      <c r="C37" t="n">
        <v>137</v>
      </c>
      <c r="D37" t="n">
        <v>19.99</v>
      </c>
      <c r="E37">
        <f>C37*D37</f>
        <v/>
      </c>
      <c r="F37">
        <f>E37*Assumptions!$B$2</f>
        <v/>
      </c>
      <c r="G37">
        <f>E37-F37</f>
        <v/>
      </c>
      <c r="H37">
        <f>ROUND(G37*Assumptions!$B$3,2)</f>
        <v/>
      </c>
      <c r="I37">
        <f>IF(C37&gt;150,"High",IF(C37&gt;120,"Mid","Low"))</f>
        <v/>
      </c>
    </row>
    <row r="38">
      <c r="A38" t="inlineStr">
        <is>
          <t>Rep 37</t>
        </is>
      </c>
      <c r="B38" t="inlineStr">
        <is>
          <t>AMER</t>
        </is>
      </c>
      <c r="C38" t="n">
        <v>138</v>
      </c>
      <c r="D38" t="n">
        <v>19.99</v>
      </c>
      <c r="E38">
        <f>C38*D38</f>
        <v/>
      </c>
      <c r="F38">
        <f>E38*Assumptions!$B$2</f>
        <v/>
      </c>
      <c r="G38">
        <f>E38-F38</f>
        <v/>
      </c>
      <c r="H38">
        <f>ROUND(G38*Assumptions!$B$3,2)</f>
        <v/>
      </c>
      <c r="I38">
        <f>IF(C38&gt;150,"High",IF(C38&gt;120,"Mid","Low"))</f>
        <v/>
      </c>
    </row>
    <row r="39">
      <c r="A39" t="inlineStr">
        <is>
          <t>Rep 38</t>
        </is>
      </c>
      <c r="B39" t="inlineStr">
        <is>
          <t>EMEA</t>
        </is>
      </c>
      <c r="C39" t="n">
        <v>139</v>
      </c>
      <c r="D39" t="n">
        <v>19.99</v>
      </c>
      <c r="E39">
        <f>C39*D39</f>
        <v/>
      </c>
      <c r="F39">
        <f>E39*Assumptions!$B$2</f>
        <v/>
      </c>
      <c r="G39">
        <f>E39-F39</f>
        <v/>
      </c>
      <c r="H39">
        <f>ROUND(G39*Assumptions!$B$3,2)</f>
        <v/>
      </c>
      <c r="I39">
        <f>IF(C39&gt;150,"High",IF(C39&gt;120,"Mid","Low"))</f>
        <v/>
      </c>
    </row>
    <row r="40">
      <c r="A40" t="inlineStr">
        <is>
          <t>Rep 39</t>
        </is>
      </c>
      <c r="B40" t="inlineStr">
        <is>
          <t>AMER</t>
        </is>
      </c>
      <c r="C40" t="n">
        <v>140</v>
      </c>
      <c r="D40" t="n">
        <v>19.99</v>
      </c>
      <c r="E40">
        <f>C40*D40</f>
        <v/>
      </c>
      <c r="F40">
        <f>E40*Assumptions!$B$2</f>
        <v/>
      </c>
      <c r="G40">
        <f>E40-F40</f>
        <v/>
      </c>
      <c r="H40">
        <f>ROUND(G40*Assumptions!$B$3,2)</f>
        <v/>
      </c>
      <c r="I40">
        <f>IF(C40&gt;150,"High",IF(C40&gt;120,"Mid","Low"))</f>
        <v/>
      </c>
    </row>
    <row r="41">
      <c r="A41" t="inlineStr">
        <is>
          <t>Rep 40</t>
        </is>
      </c>
      <c r="B41" t="inlineStr">
        <is>
          <t>EMEA</t>
        </is>
      </c>
      <c r="C41" t="n">
        <v>141</v>
      </c>
      <c r="D41" t="n">
        <v>19.99</v>
      </c>
      <c r="E41">
        <f>C41*D41</f>
        <v/>
      </c>
      <c r="F41">
        <f>E41*Assumptions!$B$2</f>
        <v/>
      </c>
      <c r="G41">
        <f>E41-F41</f>
        <v/>
      </c>
      <c r="H41">
        <f>ROUND(G41*Assumptions!$B$3,2)</f>
        <v/>
      </c>
      <c r="I41">
        <f>IF(C41&gt;150,"High",IF(C41&gt;120,"Mid","Low"))</f>
        <v/>
      </c>
    </row>
    <row r="42">
      <c r="E42">
        <f>SUM(E2:E41)</f>
        <v/>
      </c>
      <c r="G42">
        <f>SUM(G2:G41)</f>
        <v/>
      </c>
      <c r="H42">
        <f>SUM(H2:H41)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Gross</t>
        </is>
      </c>
      <c r="B2">
        <f>Sales!E42</f>
        <v/>
      </c>
    </row>
    <row r="3">
      <c r="A3" t="inlineStr">
        <is>
          <t>Total Commission</t>
        </is>
      </c>
      <c r="B3">
        <f>Sales!H42</f>
        <v/>
      </c>
    </row>
    <row r="4">
      <c r="A4" t="inlineStr">
        <is>
          <t>Avg Unit Price</t>
        </is>
      </c>
      <c r="B4">
        <f>AVERAGE(Sales!D2:D41)</f>
        <v/>
      </c>
    </row>
    <row r="5">
      <c r="B5">
        <f>VLOOKUP("Rep 1",Sales!A2:I41,5,FALSE)</f>
        <v/>
      </c>
    </row>
    <row r="6">
      <c r="B6">
        <f>INDEX(Sales!G2:G41,MATCH("Rep 3",Sales!A2:A41,0))</f>
        <v/>
      </c>
    </row>
    <row r="7">
      <c r="B7">
        <f>B3/B2*100</f>
        <v/>
      </c>
    </row>
    <row r="8">
      <c r="B8">
        <f>EOMONTH(TODAY(),12)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2026-08-10T19:40:10Z</dcterms:created>
  <dcterms:modified xsi:type="dcterms:W3CDTF">2026-08-10T19:40:10Z</dcterms:modified>
</cp:coreProperties>
</file>